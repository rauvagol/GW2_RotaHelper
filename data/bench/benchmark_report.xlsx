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haf.JANPC\Documents\_LocalCoding\GW2_RotaHelper\data\bench\"/>
    </mc:Choice>
  </mc:AlternateContent>
  <xr:revisionPtr revIDLastSave="0" documentId="13_ncr:1_{3F045484-AF27-4D4D-A3A8-84E9A0BD90E7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PS Builds" sheetId="2" r:id="rId1"/>
    <sheet name="ALAC Builds" sheetId="3" r:id="rId2"/>
    <sheet name="QUICK Builds" sheetId="4" r:id="rId3"/>
    <sheet name="Colors" sheetId="1" r:id="rId4"/>
  </sheets>
  <definedNames>
    <definedName name="_xlnm._FilterDatabase" localSheetId="1" hidden="1">'ALAC Builds'!$A$1:$G$19</definedName>
    <definedName name="_xlnm._FilterDatabase" localSheetId="0" hidden="1">'DPS Builds'!$A$1:$G$61</definedName>
    <definedName name="_xlnm._FilterDatabase" localSheetId="2" hidden="1">'QUICK Builds'!$A$1:$G$24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4" l="1"/>
  <c r="G24" i="4" s="1"/>
  <c r="E24" i="4"/>
  <c r="G23" i="4"/>
  <c r="F23" i="4"/>
  <c r="E23" i="4"/>
  <c r="F22" i="4"/>
  <c r="G22" i="4" s="1"/>
  <c r="E22" i="4"/>
  <c r="F21" i="4"/>
  <c r="G21" i="4" s="1"/>
  <c r="E21" i="4"/>
  <c r="F20" i="4"/>
  <c r="G20" i="4" s="1"/>
  <c r="E20" i="4"/>
  <c r="F19" i="4"/>
  <c r="G19" i="4" s="1"/>
  <c r="E19" i="4"/>
  <c r="F18" i="4"/>
  <c r="G18" i="4" s="1"/>
  <c r="E18" i="4"/>
  <c r="G17" i="4"/>
  <c r="F17" i="4"/>
  <c r="E17" i="4"/>
  <c r="F16" i="4"/>
  <c r="G16" i="4" s="1"/>
  <c r="E16" i="4"/>
  <c r="F15" i="4"/>
  <c r="G15" i="4" s="1"/>
  <c r="E15" i="4"/>
  <c r="F14" i="4"/>
  <c r="G14" i="4" s="1"/>
  <c r="E14" i="4"/>
  <c r="F13" i="4"/>
  <c r="G13" i="4" s="1"/>
  <c r="E13" i="4"/>
  <c r="F12" i="4"/>
  <c r="G12" i="4" s="1"/>
  <c r="E12" i="4"/>
  <c r="F11" i="4"/>
  <c r="G11" i="4" s="1"/>
  <c r="E11" i="4"/>
  <c r="F10" i="4"/>
  <c r="G10" i="4" s="1"/>
  <c r="E10" i="4"/>
  <c r="F9" i="4"/>
  <c r="G9" i="4" s="1"/>
  <c r="E9" i="4"/>
  <c r="F8" i="4"/>
  <c r="G8" i="4" s="1"/>
  <c r="E8" i="4"/>
  <c r="F7" i="4"/>
  <c r="G7" i="4" s="1"/>
  <c r="E7" i="4"/>
  <c r="F6" i="4"/>
  <c r="G6" i="4" s="1"/>
  <c r="E6" i="4"/>
  <c r="G5" i="4"/>
  <c r="F5" i="4"/>
  <c r="E5" i="4"/>
  <c r="F4" i="4"/>
  <c r="G4" i="4" s="1"/>
  <c r="E4" i="4"/>
  <c r="F3" i="4"/>
  <c r="G3" i="4" s="1"/>
  <c r="E3" i="4"/>
  <c r="F2" i="4"/>
  <c r="G2" i="4" s="1"/>
  <c r="E2" i="4"/>
  <c r="G19" i="3"/>
  <c r="F19" i="3"/>
  <c r="E19" i="3"/>
  <c r="F18" i="3"/>
  <c r="G18" i="3" s="1"/>
  <c r="E18" i="3"/>
  <c r="F17" i="3"/>
  <c r="G17" i="3" s="1"/>
  <c r="E17" i="3"/>
  <c r="F16" i="3"/>
  <c r="G16" i="3" s="1"/>
  <c r="E16" i="3"/>
  <c r="F15" i="3"/>
  <c r="G15" i="3" s="1"/>
  <c r="E15" i="3"/>
  <c r="F14" i="3"/>
  <c r="G14" i="3" s="1"/>
  <c r="E14" i="3"/>
  <c r="F13" i="3"/>
  <c r="G13" i="3" s="1"/>
  <c r="E13" i="3"/>
  <c r="G12" i="3"/>
  <c r="F12" i="3"/>
  <c r="E12" i="3"/>
  <c r="F11" i="3"/>
  <c r="G11" i="3" s="1"/>
  <c r="E11" i="3"/>
  <c r="F10" i="3"/>
  <c r="G10" i="3" s="1"/>
  <c r="E10" i="3"/>
  <c r="F9" i="3"/>
  <c r="G9" i="3" s="1"/>
  <c r="E9" i="3"/>
  <c r="F8" i="3"/>
  <c r="G8" i="3" s="1"/>
  <c r="E8" i="3"/>
  <c r="G7" i="3"/>
  <c r="F7" i="3"/>
  <c r="E7" i="3"/>
  <c r="F6" i="3"/>
  <c r="G6" i="3" s="1"/>
  <c r="E6" i="3"/>
  <c r="F5" i="3"/>
  <c r="G5" i="3" s="1"/>
  <c r="E5" i="3"/>
  <c r="F4" i="3"/>
  <c r="G4" i="3" s="1"/>
  <c r="E4" i="3"/>
  <c r="G3" i="3"/>
  <c r="F3" i="3"/>
  <c r="E3" i="3"/>
  <c r="F2" i="3"/>
  <c r="G2" i="3" s="1"/>
  <c r="E2" i="3"/>
  <c r="F61" i="2"/>
  <c r="G61" i="2" s="1"/>
  <c r="E61" i="2"/>
  <c r="F60" i="2"/>
  <c r="G60" i="2" s="1"/>
  <c r="E60" i="2"/>
  <c r="F59" i="2"/>
  <c r="G59" i="2" s="1"/>
  <c r="E59" i="2"/>
  <c r="F58" i="2"/>
  <c r="G58" i="2" s="1"/>
  <c r="E58" i="2"/>
  <c r="F57" i="2"/>
  <c r="G57" i="2" s="1"/>
  <c r="E57" i="2"/>
  <c r="G56" i="2"/>
  <c r="F56" i="2"/>
  <c r="E56" i="2"/>
  <c r="F55" i="2"/>
  <c r="G55" i="2" s="1"/>
  <c r="E55" i="2"/>
  <c r="F54" i="2"/>
  <c r="G54" i="2" s="1"/>
  <c r="E54" i="2"/>
  <c r="F53" i="2"/>
  <c r="G53" i="2" s="1"/>
  <c r="E53" i="2"/>
  <c r="F52" i="2"/>
  <c r="G52" i="2" s="1"/>
  <c r="E52" i="2"/>
  <c r="G51" i="2"/>
  <c r="F51" i="2"/>
  <c r="E51" i="2"/>
  <c r="F50" i="2"/>
  <c r="G50" i="2" s="1"/>
  <c r="E50" i="2"/>
  <c r="F49" i="2"/>
  <c r="G49" i="2" s="1"/>
  <c r="E49" i="2"/>
  <c r="F48" i="2"/>
  <c r="G48" i="2" s="1"/>
  <c r="E48" i="2"/>
  <c r="G47" i="2"/>
  <c r="F47" i="2"/>
  <c r="E47" i="2"/>
  <c r="F46" i="2"/>
  <c r="G46" i="2" s="1"/>
  <c r="E46" i="2"/>
  <c r="F45" i="2"/>
  <c r="G45" i="2" s="1"/>
  <c r="E45" i="2"/>
  <c r="F44" i="2"/>
  <c r="G44" i="2" s="1"/>
  <c r="E44" i="2"/>
  <c r="F43" i="2"/>
  <c r="G43" i="2" s="1"/>
  <c r="E43" i="2"/>
  <c r="F42" i="2"/>
  <c r="G42" i="2" s="1"/>
  <c r="E42" i="2"/>
  <c r="F41" i="2"/>
  <c r="G41" i="2" s="1"/>
  <c r="E41" i="2"/>
  <c r="G40" i="2"/>
  <c r="F40" i="2"/>
  <c r="E40" i="2"/>
  <c r="F39" i="2"/>
  <c r="G39" i="2" s="1"/>
  <c r="E39" i="2"/>
  <c r="F38" i="2"/>
  <c r="G38" i="2" s="1"/>
  <c r="E38" i="2"/>
  <c r="F37" i="2"/>
  <c r="G37" i="2" s="1"/>
  <c r="E37" i="2"/>
  <c r="F36" i="2"/>
  <c r="G36" i="2" s="1"/>
  <c r="E36" i="2"/>
  <c r="G35" i="2"/>
  <c r="F35" i="2"/>
  <c r="E35" i="2"/>
  <c r="F34" i="2"/>
  <c r="G34" i="2" s="1"/>
  <c r="E34" i="2"/>
  <c r="F33" i="2"/>
  <c r="G33" i="2" s="1"/>
  <c r="E33" i="2"/>
  <c r="F32" i="2"/>
  <c r="G32" i="2" s="1"/>
  <c r="E32" i="2"/>
  <c r="G31" i="2"/>
  <c r="F31" i="2"/>
  <c r="E31" i="2"/>
  <c r="F30" i="2"/>
  <c r="G30" i="2" s="1"/>
  <c r="E30" i="2"/>
  <c r="F29" i="2"/>
  <c r="G29" i="2" s="1"/>
  <c r="E29" i="2"/>
  <c r="F28" i="2"/>
  <c r="G28" i="2" s="1"/>
  <c r="E28" i="2"/>
  <c r="F27" i="2"/>
  <c r="G27" i="2" s="1"/>
  <c r="E27" i="2"/>
  <c r="F26" i="2"/>
  <c r="G26" i="2" s="1"/>
  <c r="E26" i="2"/>
  <c r="F25" i="2"/>
  <c r="G25" i="2" s="1"/>
  <c r="E25" i="2"/>
  <c r="G24" i="2"/>
  <c r="F24" i="2"/>
  <c r="E24" i="2"/>
  <c r="F23" i="2"/>
  <c r="G23" i="2" s="1"/>
  <c r="E23" i="2"/>
  <c r="F22" i="2"/>
  <c r="G22" i="2" s="1"/>
  <c r="E22" i="2"/>
  <c r="F21" i="2"/>
  <c r="G21" i="2" s="1"/>
  <c r="E21" i="2"/>
  <c r="F20" i="2"/>
  <c r="G20" i="2" s="1"/>
  <c r="E20" i="2"/>
  <c r="G19" i="2"/>
  <c r="F19" i="2"/>
  <c r="E19" i="2"/>
  <c r="F18" i="2"/>
  <c r="G18" i="2" s="1"/>
  <c r="E18" i="2"/>
  <c r="F17" i="2"/>
  <c r="G17" i="2" s="1"/>
  <c r="E17" i="2"/>
  <c r="F16" i="2"/>
  <c r="G16" i="2" s="1"/>
  <c r="E16" i="2"/>
  <c r="G15" i="2"/>
  <c r="F15" i="2"/>
  <c r="E15" i="2"/>
  <c r="F14" i="2"/>
  <c r="G14" i="2" s="1"/>
  <c r="E14" i="2"/>
  <c r="F13" i="2"/>
  <c r="G13" i="2" s="1"/>
  <c r="E13" i="2"/>
  <c r="F12" i="2"/>
  <c r="G12" i="2" s="1"/>
  <c r="E12" i="2"/>
  <c r="F11" i="2"/>
  <c r="G11" i="2" s="1"/>
  <c r="E11" i="2"/>
  <c r="F10" i="2"/>
  <c r="G10" i="2" s="1"/>
  <c r="E10" i="2"/>
  <c r="F9" i="2"/>
  <c r="G9" i="2" s="1"/>
  <c r="E9" i="2"/>
  <c r="G8" i="2"/>
  <c r="F8" i="2"/>
  <c r="E8" i="2"/>
  <c r="F7" i="2"/>
  <c r="G7" i="2" s="1"/>
  <c r="E7" i="2"/>
  <c r="F6" i="2"/>
  <c r="G6" i="2" s="1"/>
  <c r="E6" i="2"/>
  <c r="F5" i="2"/>
  <c r="G5" i="2" s="1"/>
  <c r="E5" i="2"/>
  <c r="F4" i="2"/>
  <c r="G4" i="2" s="1"/>
  <c r="E4" i="2"/>
  <c r="G3" i="2"/>
  <c r="F3" i="2"/>
  <c r="E3" i="2"/>
  <c r="F2" i="2"/>
  <c r="G2" i="2" s="1"/>
  <c r="E2" i="2"/>
</calcChain>
</file>

<file path=xl/sharedStrings.xml><?xml version="1.0" encoding="utf-8"?>
<sst xmlns="http://schemas.openxmlformats.org/spreadsheetml/2006/main" count="253" uniqueCount="129">
  <si>
    <t>Profession</t>
  </si>
  <si>
    <t>Color_Code</t>
  </si>
  <si>
    <t>Example</t>
  </si>
  <si>
    <t>Guardian</t>
  </si>
  <si>
    <t>B3D9</t>
  </si>
  <si>
    <t>Warrior</t>
  </si>
  <si>
    <t>99</t>
  </si>
  <si>
    <t>Engineer</t>
  </si>
  <si>
    <t>9933</t>
  </si>
  <si>
    <t>Ranger</t>
  </si>
  <si>
    <t>9999</t>
  </si>
  <si>
    <t>Thief</t>
  </si>
  <si>
    <t>B366</t>
  </si>
  <si>
    <t>Elementalist</t>
  </si>
  <si>
    <t>6666</t>
  </si>
  <si>
    <t>Mesmer</t>
  </si>
  <si>
    <t>CC66</t>
  </si>
  <si>
    <t>Necromancer</t>
  </si>
  <si>
    <t>33CC33</t>
  </si>
  <si>
    <t>Revenant</t>
  </si>
  <si>
    <t>9966</t>
  </si>
  <si>
    <t>Build Name</t>
  </si>
  <si>
    <t>Build Type</t>
  </si>
  <si>
    <t>Own DPS</t>
  </si>
  <si>
    <t>Bench DPS</t>
  </si>
  <si>
    <t>Bench %</t>
  </si>
  <si>
    <t>95% Abs</t>
  </si>
  <si>
    <t>95% Rel</t>
  </si>
  <si>
    <t>Condition Evoker Specialized Elements</t>
  </si>
  <si>
    <t>condition</t>
  </si>
  <si>
    <t>Power Daredevil Dagger Dagger Axe Pistol</t>
  </si>
  <si>
    <t>power</t>
  </si>
  <si>
    <t>Power Daredevil Dagger Only</t>
  </si>
  <si>
    <t>Power Antiquary Staff Dagger Pistol</t>
  </si>
  <si>
    <t>Power Berserker Axe Axe Sword Mace</t>
  </si>
  <si>
    <t>Condition Berserker Longbow Sword Torch</t>
  </si>
  <si>
    <t>Condition Reaper Spear Dagger Sword</t>
  </si>
  <si>
    <t>Power Chronomancer Greatsword Dagger Sword</t>
  </si>
  <si>
    <t>Power Conduit Greatsword Scepter Sword</t>
  </si>
  <si>
    <t>Power Ritualist Greatsword Spear</t>
  </si>
  <si>
    <t>Power Spellbreaker Dagger Mace Dagger Axe</t>
  </si>
  <si>
    <t>Condition Weaver Scepter Warhorn</t>
  </si>
  <si>
    <t>Condition Soulbeast Shortbow Dagger Dagger</t>
  </si>
  <si>
    <t>Power Bladesworn Faf Sword Pistol</t>
  </si>
  <si>
    <t>Power Renegade Greatsword Sword Sword</t>
  </si>
  <si>
    <t>Condition Evoker Pistol Dagger</t>
  </si>
  <si>
    <t>Condition Harbinger Pistol Torch Scepter Dagger</t>
  </si>
  <si>
    <t>Condition Willbender Pistol Torch Pistol</t>
  </si>
  <si>
    <t>Power Virtuoso Spear Greatsword</t>
  </si>
  <si>
    <t>Power Paragon Sword Axe Dagger Mace</t>
  </si>
  <si>
    <t>Condition Thief Axe Dagger Only</t>
  </si>
  <si>
    <t>Power Catalyst Scepter Dagger</t>
  </si>
  <si>
    <t>Power Dragonhunter Radiance Spear Greatsword</t>
  </si>
  <si>
    <t>Condition Tempest Pistol Warhorn</t>
  </si>
  <si>
    <t>Power Harbinger Greatsword Spear</t>
  </si>
  <si>
    <t>Condition Daredevil Dagger Only</t>
  </si>
  <si>
    <t>Power Evoker Scepter Dagger</t>
  </si>
  <si>
    <t>Power Reaper Greatsword Spear</t>
  </si>
  <si>
    <t>Power Tempest Spear</t>
  </si>
  <si>
    <t>Power Tempest Sword Dagger</t>
  </si>
  <si>
    <t>Power Catalyst Spear</t>
  </si>
  <si>
    <t>Power Berserker Hammer Axe Mace</t>
  </si>
  <si>
    <t>Power Daredevil Sword Dagger Axe Pistol</t>
  </si>
  <si>
    <t>Power Tempest Scepter Dagger</t>
  </si>
  <si>
    <t>Condition Daredevil Spear Axe Dagger</t>
  </si>
  <si>
    <t>Condition Daredevil Spear Only</t>
  </si>
  <si>
    <t>Power Renegade Hammer Sword Sword</t>
  </si>
  <si>
    <t>Power Conduit Staff Sword Sword</t>
  </si>
  <si>
    <t>Power Berserker Tactics Spear Greatsword</t>
  </si>
  <si>
    <t>Condition Paragon Longbow Sword Sword</t>
  </si>
  <si>
    <t>Power Daredevil Staff</t>
  </si>
  <si>
    <t>Power Willbender Spear Greatsword</t>
  </si>
  <si>
    <t>Power Deadeye M7 Rifle Dagger Dagger</t>
  </si>
  <si>
    <t>Inferno Tempest Scepter Dagger</t>
  </si>
  <si>
    <t>Power Tempest Hammer</t>
  </si>
  <si>
    <t>Power Weaver Sword Dagger</t>
  </si>
  <si>
    <t>Power Luminary Longbow Greatsword</t>
  </si>
  <si>
    <t>Power Willbender Peitha Greatsword Sword Focus</t>
  </si>
  <si>
    <t>Condition Mechanist One Kit Spear</t>
  </si>
  <si>
    <t>Condition Specter Scepter Dagger Only</t>
  </si>
  <si>
    <t>Power Luminary Spear Greatsword</t>
  </si>
  <si>
    <t>Condition Scourge Scepter Torch Pistol</t>
  </si>
  <si>
    <t>Condition Conduit Mistfire Spear Mace Axe</t>
  </si>
  <si>
    <t>Power Soulbeast Hammer Axe Axe</t>
  </si>
  <si>
    <t>Power Soulbeast Hammer Sword Axe</t>
  </si>
  <si>
    <t>Power Spellbreaker Hammer Dagger Mace</t>
  </si>
  <si>
    <t>Condition Virtuoso Dagger Sword Focus</t>
  </si>
  <si>
    <t>Condition Catalyst Pistol Dagger</t>
  </si>
  <si>
    <t>Power Herald Staff Sword Sword</t>
  </si>
  <si>
    <t>Condition Quickness Evoker Specialized Elements</t>
  </si>
  <si>
    <t>Power Alacrity Antiquary Staff Dagger Pistol</t>
  </si>
  <si>
    <t>Power Alacrity Luminary Longbow Greatsword</t>
  </si>
  <si>
    <t>Power Alacrity Luminary Spear Greatsword</t>
  </si>
  <si>
    <t>Power Alacrity Bladesworn Overcharged Cartridges Sword Pistol</t>
  </si>
  <si>
    <t>Power Alacrity Amalgam Hammer</t>
  </si>
  <si>
    <t>Power Alacrity Bladesworn Signets Sword Pistol</t>
  </si>
  <si>
    <t>Condition Alacrity Renegade Spear Mace Axe</t>
  </si>
  <si>
    <t>Condition Alacrity Renegade Shortbow Mace Axe</t>
  </si>
  <si>
    <t>Power Alacrity Tempest Hammer</t>
  </si>
  <si>
    <t>Power Alacrity Evoker Scepter Dagger</t>
  </si>
  <si>
    <t>Condition Alacrity Specter Scepter Dagger Dagger</t>
  </si>
  <si>
    <t>Power Alacrity Tempest Sword Dagger</t>
  </si>
  <si>
    <t>Power Alacrity Renegade Greatsword Sword Sword</t>
  </si>
  <si>
    <t>Power Alacrity Renegade Staff Sword Sword</t>
  </si>
  <si>
    <t>Condition Alacrity Scourge Scepter Torch Pistol</t>
  </si>
  <si>
    <t>Power Alacrity Willbender Greatsword Sword Focus</t>
  </si>
  <si>
    <t>Power Alacrity Willbender Spear Greatsword</t>
  </si>
  <si>
    <t>Power Boon Chronomancer Spear Dagger Sword</t>
  </si>
  <si>
    <t>Power Quickness Evoker Scepter Dagger</t>
  </si>
  <si>
    <t>Power Quickness Deadeye Axe Pistol Dagger</t>
  </si>
  <si>
    <t>Condition Quickness Berserker Longbow Sword Torch</t>
  </si>
  <si>
    <t>Power Quickness Deadeye Dagger Only</t>
  </si>
  <si>
    <t>Power Quickness Ritualist Greatsword Spear</t>
  </si>
  <si>
    <t>Condition Quickness Harbinger Pistol Dagger Scepter Torch</t>
  </si>
  <si>
    <t>Power Quickness Untamed Hammer Sword Axe</t>
  </si>
  <si>
    <t>Power Quickness Berserker Greatsword Axe Axe</t>
  </si>
  <si>
    <t>Power Quickness Berserker Spear Axe Axe</t>
  </si>
  <si>
    <t>Power Quickness Catalyst Scepter Dagger</t>
  </si>
  <si>
    <t>Condition Quickness Untamed Axe Dagger Dagger Torch</t>
  </si>
  <si>
    <t>Power Quickness Untamed Nature Magic Hammer Sword Axe</t>
  </si>
  <si>
    <t>Condition Quickness Deadeye Spear Only</t>
  </si>
  <si>
    <t>Power Quickness Catalyst Sword Dagger</t>
  </si>
  <si>
    <t>Condition Quickness Catalyst Pistol Dagger</t>
  </si>
  <si>
    <t>Power Quickness Deadeye Spear Only</t>
  </si>
  <si>
    <t>Power Quickness Herald Greatsword Sword Sword</t>
  </si>
  <si>
    <t>Condition Quickness Herald Shortbow Mace Axe</t>
  </si>
  <si>
    <t>Condition Quickness Herald Spear Mace Axe</t>
  </si>
  <si>
    <t>Power Quickness Herald Staff Sword Sword</t>
  </si>
  <si>
    <t>Condition Quickness Herald Spear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</si>
</sst>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3D1FF"/>
        <bgColor rgb="FFB3D1FF"/>
      </patternFill>
    </fill>
    <fill>
      <patternFill patternType="solid">
        <fgColor rgb="FFB3D9FF"/>
        <bgColor rgb="FFB3D9FF"/>
      </patternFill>
    </fill>
    <fill>
      <patternFill patternType="solid">
        <fgColor rgb="FFFFFF99"/>
        <bgColor rgb="FFFFFF99"/>
      </patternFill>
    </fill>
    <fill>
      <patternFill patternType="solid">
        <fgColor rgb="FFFF9933"/>
        <bgColor rgb="FFFF9933"/>
      </patternFill>
    </fill>
    <fill>
      <patternFill patternType="solid">
        <fgColor rgb="FF99FF99"/>
        <bgColor rgb="FF99FF99"/>
      </patternFill>
    </fill>
    <fill>
      <patternFill patternType="solid">
        <fgColor rgb="FFB366FF"/>
        <bgColor rgb="FFB366FF"/>
      </patternFill>
    </fill>
    <fill>
      <patternFill patternType="solid">
        <fgColor rgb="FFFF6666"/>
        <bgColor rgb="FFFF6666"/>
      </patternFill>
    </fill>
    <fill>
      <patternFill patternType="solid">
        <fgColor rgb="FFCC66FF"/>
        <bgColor rgb="FFCC66FF"/>
      </patternFill>
    </fill>
    <fill>
      <patternFill patternType="solid">
        <fgColor rgb="FF33CC33"/>
        <bgColor rgb="FF33CC33"/>
      </patternFill>
    </fill>
    <fill>
      <patternFill patternType="solid">
        <fgColor rgb="FFFF9966"/>
        <bgColor rgb="FFFF9966"/>
      </patternFill>
    </fill>
    <fill>
      <patternFill patternType="solid">
        <fgColor rgb="FFFFFFFF"/>
        <bgColor rgb="FFFFFFFF"/>
      </patternFill>
    </fill>
    <fill>
      <patternFill patternType="solid">
        <fgColor theme="3" tint="0.39997558519241921"/>
        <bgColor rgb="FFB36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zoomScale="250" zoomScaleNormal="250" workbookViewId="0">
      <selection activeCell="A3" sqref="A3"/>
    </sheetView>
  </sheetViews>
  <sheetFormatPr defaultRowHeight="14.4" x14ac:dyDescent="0.3"/>
  <cols>
    <col min="1" max="1" width="42.88671875" bestFit="1" customWidth="1"/>
    <col min="2" max="2" width="11.5546875" bestFit="1" customWidth="1"/>
    <col min="3" max="3" width="10.5546875" bestFit="1" customWidth="1"/>
    <col min="4" max="4" width="11.77734375" bestFit="1" customWidth="1"/>
    <col min="5" max="5" width="10.109375" bestFit="1" customWidth="1"/>
    <col min="6" max="6" width="10" bestFit="1" customWidth="1"/>
    <col min="7" max="7" width="9.6640625" bestFit="1" customWidth="1"/>
  </cols>
  <sheetData>
    <row r="1" spans="1:7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3">
      <c r="A2" s="7" t="s">
        <v>28</v>
      </c>
      <c r="B2" t="s">
        <v>29</v>
      </c>
      <c r="C2">
        <v>0</v>
      </c>
      <c r="D2">
        <v>44367</v>
      </c>
      <c r="E2">
        <f t="shared" ref="E2:E33" si="0">ROUND(C2/D2*100,2)</f>
        <v>0</v>
      </c>
      <c r="F2">
        <f t="shared" ref="F2:F33" si="1">ROUND(D2*0.95,0)</f>
        <v>42149</v>
      </c>
      <c r="G2">
        <f t="shared" ref="G2:G33" si="2">ROUND(F2-C2,0)</f>
        <v>42149</v>
      </c>
    </row>
    <row r="3" spans="1:7" x14ac:dyDescent="0.3">
      <c r="A3" s="6" t="s">
        <v>30</v>
      </c>
      <c r="B3" t="s">
        <v>31</v>
      </c>
      <c r="C3">
        <v>0</v>
      </c>
      <c r="D3">
        <v>44282</v>
      </c>
      <c r="E3">
        <f t="shared" si="0"/>
        <v>0</v>
      </c>
      <c r="F3">
        <f t="shared" si="1"/>
        <v>42068</v>
      </c>
      <c r="G3">
        <f t="shared" si="2"/>
        <v>42068</v>
      </c>
    </row>
    <row r="4" spans="1:7" x14ac:dyDescent="0.3">
      <c r="A4" s="6" t="s">
        <v>32</v>
      </c>
      <c r="B4" t="s">
        <v>31</v>
      </c>
      <c r="C4">
        <v>0</v>
      </c>
      <c r="D4">
        <v>44282</v>
      </c>
      <c r="E4">
        <f t="shared" si="0"/>
        <v>0</v>
      </c>
      <c r="F4">
        <f t="shared" si="1"/>
        <v>42068</v>
      </c>
      <c r="G4">
        <f t="shared" si="2"/>
        <v>42068</v>
      </c>
    </row>
    <row r="5" spans="1:7" x14ac:dyDescent="0.3">
      <c r="A5" s="6" t="s">
        <v>33</v>
      </c>
      <c r="B5" t="s">
        <v>31</v>
      </c>
      <c r="C5">
        <v>0</v>
      </c>
      <c r="D5">
        <v>44271</v>
      </c>
      <c r="E5">
        <f t="shared" si="0"/>
        <v>0</v>
      </c>
      <c r="F5">
        <f t="shared" si="1"/>
        <v>42057</v>
      </c>
      <c r="G5">
        <f t="shared" si="2"/>
        <v>42057</v>
      </c>
    </row>
    <row r="6" spans="1:7" x14ac:dyDescent="0.3">
      <c r="A6" s="3" t="s">
        <v>34</v>
      </c>
      <c r="B6" t="s">
        <v>31</v>
      </c>
      <c r="C6">
        <v>0</v>
      </c>
      <c r="D6">
        <v>44256</v>
      </c>
      <c r="E6">
        <f t="shared" si="0"/>
        <v>0</v>
      </c>
      <c r="F6">
        <f t="shared" si="1"/>
        <v>42043</v>
      </c>
      <c r="G6">
        <f t="shared" si="2"/>
        <v>42043</v>
      </c>
    </row>
    <row r="7" spans="1:7" x14ac:dyDescent="0.3">
      <c r="A7" s="3" t="s">
        <v>35</v>
      </c>
      <c r="B7" t="s">
        <v>29</v>
      </c>
      <c r="C7">
        <v>0</v>
      </c>
      <c r="D7">
        <v>44151</v>
      </c>
      <c r="E7">
        <f t="shared" si="0"/>
        <v>0</v>
      </c>
      <c r="F7">
        <f t="shared" si="1"/>
        <v>41943</v>
      </c>
      <c r="G7">
        <f t="shared" si="2"/>
        <v>41943</v>
      </c>
    </row>
    <row r="8" spans="1:7" x14ac:dyDescent="0.3">
      <c r="A8" s="9" t="s">
        <v>36</v>
      </c>
      <c r="B8" t="s">
        <v>29</v>
      </c>
      <c r="C8">
        <v>0</v>
      </c>
      <c r="D8">
        <v>43537</v>
      </c>
      <c r="E8">
        <f t="shared" si="0"/>
        <v>0</v>
      </c>
      <c r="F8">
        <f t="shared" si="1"/>
        <v>41360</v>
      </c>
      <c r="G8">
        <f t="shared" si="2"/>
        <v>41360</v>
      </c>
    </row>
    <row r="9" spans="1:7" x14ac:dyDescent="0.3">
      <c r="A9" s="8" t="s">
        <v>37</v>
      </c>
      <c r="B9" t="s">
        <v>31</v>
      </c>
      <c r="C9">
        <v>0</v>
      </c>
      <c r="D9">
        <v>43075</v>
      </c>
      <c r="E9">
        <f t="shared" si="0"/>
        <v>0</v>
      </c>
      <c r="F9">
        <f t="shared" si="1"/>
        <v>40921</v>
      </c>
      <c r="G9">
        <f t="shared" si="2"/>
        <v>40921</v>
      </c>
    </row>
    <row r="10" spans="1:7" x14ac:dyDescent="0.3">
      <c r="A10" s="11" t="s">
        <v>38</v>
      </c>
      <c r="B10" t="s">
        <v>31</v>
      </c>
      <c r="C10">
        <v>0</v>
      </c>
      <c r="D10">
        <v>42939</v>
      </c>
      <c r="E10">
        <f t="shared" si="0"/>
        <v>0</v>
      </c>
      <c r="F10">
        <f t="shared" si="1"/>
        <v>40792</v>
      </c>
      <c r="G10">
        <f t="shared" si="2"/>
        <v>40792</v>
      </c>
    </row>
    <row r="11" spans="1:7" x14ac:dyDescent="0.3">
      <c r="A11" s="9" t="s">
        <v>39</v>
      </c>
      <c r="B11" t="s">
        <v>31</v>
      </c>
      <c r="C11">
        <v>0</v>
      </c>
      <c r="D11">
        <v>42712</v>
      </c>
      <c r="E11">
        <f t="shared" si="0"/>
        <v>0</v>
      </c>
      <c r="F11">
        <f t="shared" si="1"/>
        <v>40576</v>
      </c>
      <c r="G11">
        <f t="shared" si="2"/>
        <v>40576</v>
      </c>
    </row>
    <row r="12" spans="1:7" x14ac:dyDescent="0.3">
      <c r="A12" s="3" t="s">
        <v>40</v>
      </c>
      <c r="B12" t="s">
        <v>31</v>
      </c>
      <c r="C12">
        <v>0</v>
      </c>
      <c r="D12">
        <v>42633</v>
      </c>
      <c r="E12">
        <f t="shared" si="0"/>
        <v>0</v>
      </c>
      <c r="F12">
        <f t="shared" si="1"/>
        <v>40501</v>
      </c>
      <c r="G12">
        <f t="shared" si="2"/>
        <v>40501</v>
      </c>
    </row>
    <row r="13" spans="1:7" x14ac:dyDescent="0.3">
      <c r="A13" s="7" t="s">
        <v>41</v>
      </c>
      <c r="B13" t="s">
        <v>29</v>
      </c>
      <c r="C13">
        <v>0</v>
      </c>
      <c r="D13">
        <v>42573</v>
      </c>
      <c r="E13">
        <f t="shared" si="0"/>
        <v>0</v>
      </c>
      <c r="F13">
        <f t="shared" si="1"/>
        <v>40444</v>
      </c>
      <c r="G13">
        <f t="shared" si="2"/>
        <v>40444</v>
      </c>
    </row>
    <row r="14" spans="1:7" x14ac:dyDescent="0.3">
      <c r="A14" s="5" t="s">
        <v>42</v>
      </c>
      <c r="B14" t="s">
        <v>29</v>
      </c>
      <c r="C14">
        <v>0</v>
      </c>
      <c r="D14">
        <v>42481</v>
      </c>
      <c r="E14">
        <f t="shared" si="0"/>
        <v>0</v>
      </c>
      <c r="F14">
        <f t="shared" si="1"/>
        <v>40357</v>
      </c>
      <c r="G14">
        <f t="shared" si="2"/>
        <v>40357</v>
      </c>
    </row>
    <row r="15" spans="1:7" x14ac:dyDescent="0.3">
      <c r="A15" s="3" t="s">
        <v>43</v>
      </c>
      <c r="B15" t="s">
        <v>31</v>
      </c>
      <c r="C15">
        <v>0</v>
      </c>
      <c r="D15">
        <v>42457</v>
      </c>
      <c r="E15">
        <f t="shared" si="0"/>
        <v>0</v>
      </c>
      <c r="F15">
        <f t="shared" si="1"/>
        <v>40334</v>
      </c>
      <c r="G15">
        <f t="shared" si="2"/>
        <v>40334</v>
      </c>
    </row>
    <row r="16" spans="1:7" x14ac:dyDescent="0.3">
      <c r="A16" s="10" t="s">
        <v>44</v>
      </c>
      <c r="B16" t="s">
        <v>31</v>
      </c>
      <c r="C16">
        <v>0</v>
      </c>
      <c r="D16">
        <v>42297</v>
      </c>
      <c r="E16">
        <f t="shared" si="0"/>
        <v>0</v>
      </c>
      <c r="F16">
        <f t="shared" si="1"/>
        <v>40182</v>
      </c>
      <c r="G16">
        <f t="shared" si="2"/>
        <v>40182</v>
      </c>
    </row>
    <row r="17" spans="1:7" x14ac:dyDescent="0.3">
      <c r="A17" s="7" t="s">
        <v>45</v>
      </c>
      <c r="B17" t="s">
        <v>29</v>
      </c>
      <c r="C17">
        <v>0</v>
      </c>
      <c r="D17">
        <v>42289</v>
      </c>
      <c r="E17">
        <f t="shared" si="0"/>
        <v>0</v>
      </c>
      <c r="F17">
        <f t="shared" si="1"/>
        <v>40175</v>
      </c>
      <c r="G17">
        <f t="shared" si="2"/>
        <v>40175</v>
      </c>
    </row>
    <row r="18" spans="1:7" x14ac:dyDescent="0.3">
      <c r="A18" s="9" t="s">
        <v>46</v>
      </c>
      <c r="B18" t="s">
        <v>29</v>
      </c>
      <c r="C18">
        <v>0</v>
      </c>
      <c r="D18">
        <v>42276</v>
      </c>
      <c r="E18">
        <f t="shared" si="0"/>
        <v>0</v>
      </c>
      <c r="F18">
        <f t="shared" si="1"/>
        <v>40162</v>
      </c>
      <c r="G18">
        <f t="shared" si="2"/>
        <v>40162</v>
      </c>
    </row>
    <row r="19" spans="1:7" x14ac:dyDescent="0.3">
      <c r="A19" s="2" t="s">
        <v>47</v>
      </c>
      <c r="B19" t="s">
        <v>29</v>
      </c>
      <c r="C19">
        <v>0</v>
      </c>
      <c r="D19">
        <v>42265</v>
      </c>
      <c r="E19">
        <f t="shared" si="0"/>
        <v>0</v>
      </c>
      <c r="F19">
        <f t="shared" si="1"/>
        <v>40152</v>
      </c>
      <c r="G19">
        <f t="shared" si="2"/>
        <v>40152</v>
      </c>
    </row>
    <row r="20" spans="1:7" x14ac:dyDescent="0.3">
      <c r="A20" s="8" t="s">
        <v>48</v>
      </c>
      <c r="B20" t="s">
        <v>31</v>
      </c>
      <c r="C20">
        <v>0</v>
      </c>
      <c r="D20">
        <v>42218</v>
      </c>
      <c r="E20">
        <f t="shared" si="0"/>
        <v>0</v>
      </c>
      <c r="F20">
        <f t="shared" si="1"/>
        <v>40107</v>
      </c>
      <c r="G20">
        <f t="shared" si="2"/>
        <v>40107</v>
      </c>
    </row>
    <row r="21" spans="1:7" x14ac:dyDescent="0.3">
      <c r="A21" s="3" t="s">
        <v>49</v>
      </c>
      <c r="B21" t="s">
        <v>31</v>
      </c>
      <c r="C21">
        <v>0</v>
      </c>
      <c r="D21">
        <v>42187</v>
      </c>
      <c r="E21">
        <f t="shared" si="0"/>
        <v>0</v>
      </c>
      <c r="F21">
        <f t="shared" si="1"/>
        <v>40078</v>
      </c>
      <c r="G21">
        <f t="shared" si="2"/>
        <v>40078</v>
      </c>
    </row>
    <row r="22" spans="1:7" x14ac:dyDescent="0.3">
      <c r="A22" s="6" t="s">
        <v>50</v>
      </c>
      <c r="B22" t="s">
        <v>29</v>
      </c>
      <c r="C22">
        <v>0</v>
      </c>
      <c r="D22">
        <v>42108</v>
      </c>
      <c r="E22">
        <f t="shared" si="0"/>
        <v>0</v>
      </c>
      <c r="F22">
        <f t="shared" si="1"/>
        <v>40003</v>
      </c>
      <c r="G22">
        <f t="shared" si="2"/>
        <v>40003</v>
      </c>
    </row>
    <row r="23" spans="1:7" x14ac:dyDescent="0.3">
      <c r="A23" s="7" t="s">
        <v>51</v>
      </c>
      <c r="B23" t="s">
        <v>31</v>
      </c>
      <c r="C23">
        <v>0</v>
      </c>
      <c r="D23">
        <v>42006</v>
      </c>
      <c r="E23">
        <f t="shared" si="0"/>
        <v>0</v>
      </c>
      <c r="F23">
        <f t="shared" si="1"/>
        <v>39906</v>
      </c>
      <c r="G23">
        <f t="shared" si="2"/>
        <v>39906</v>
      </c>
    </row>
    <row r="24" spans="1:7" x14ac:dyDescent="0.3">
      <c r="A24" s="2" t="s">
        <v>52</v>
      </c>
      <c r="B24" t="s">
        <v>31</v>
      </c>
      <c r="C24">
        <v>0</v>
      </c>
      <c r="D24">
        <v>41879</v>
      </c>
      <c r="E24">
        <f t="shared" si="0"/>
        <v>0</v>
      </c>
      <c r="F24">
        <f t="shared" si="1"/>
        <v>39785</v>
      </c>
      <c r="G24">
        <f t="shared" si="2"/>
        <v>39785</v>
      </c>
    </row>
    <row r="25" spans="1:7" x14ac:dyDescent="0.3">
      <c r="A25" s="7" t="s">
        <v>53</v>
      </c>
      <c r="B25" t="s">
        <v>29</v>
      </c>
      <c r="C25">
        <v>0</v>
      </c>
      <c r="D25">
        <v>41703</v>
      </c>
      <c r="E25">
        <f t="shared" si="0"/>
        <v>0</v>
      </c>
      <c r="F25">
        <f t="shared" si="1"/>
        <v>39618</v>
      </c>
      <c r="G25">
        <f t="shared" si="2"/>
        <v>39618</v>
      </c>
    </row>
    <row r="26" spans="1:7" x14ac:dyDescent="0.3">
      <c r="A26" s="9" t="s">
        <v>54</v>
      </c>
      <c r="B26" t="s">
        <v>31</v>
      </c>
      <c r="C26">
        <v>0</v>
      </c>
      <c r="D26">
        <v>41692</v>
      </c>
      <c r="E26">
        <f t="shared" si="0"/>
        <v>0</v>
      </c>
      <c r="F26">
        <f t="shared" si="1"/>
        <v>39607</v>
      </c>
      <c r="G26">
        <f t="shared" si="2"/>
        <v>39607</v>
      </c>
    </row>
    <row r="27" spans="1:7" x14ac:dyDescent="0.3">
      <c r="A27" s="6" t="s">
        <v>55</v>
      </c>
      <c r="B27" t="s">
        <v>29</v>
      </c>
      <c r="C27">
        <v>0</v>
      </c>
      <c r="D27">
        <v>41689</v>
      </c>
      <c r="E27">
        <f t="shared" si="0"/>
        <v>0</v>
      </c>
      <c r="F27">
        <f t="shared" si="1"/>
        <v>39605</v>
      </c>
      <c r="G27">
        <f t="shared" si="2"/>
        <v>39605</v>
      </c>
    </row>
    <row r="28" spans="1:7" x14ac:dyDescent="0.3">
      <c r="A28" s="7" t="s">
        <v>56</v>
      </c>
      <c r="B28" t="s">
        <v>31</v>
      </c>
      <c r="C28">
        <v>0</v>
      </c>
      <c r="D28">
        <v>41646</v>
      </c>
      <c r="E28">
        <f t="shared" si="0"/>
        <v>0</v>
      </c>
      <c r="F28">
        <f t="shared" si="1"/>
        <v>39564</v>
      </c>
      <c r="G28">
        <f t="shared" si="2"/>
        <v>39564</v>
      </c>
    </row>
    <row r="29" spans="1:7" x14ac:dyDescent="0.3">
      <c r="A29" s="9" t="s">
        <v>57</v>
      </c>
      <c r="B29" t="s">
        <v>31</v>
      </c>
      <c r="C29">
        <v>0</v>
      </c>
      <c r="D29">
        <v>41533</v>
      </c>
      <c r="E29">
        <f t="shared" si="0"/>
        <v>0</v>
      </c>
      <c r="F29">
        <f t="shared" si="1"/>
        <v>39456</v>
      </c>
      <c r="G29">
        <f t="shared" si="2"/>
        <v>39456</v>
      </c>
    </row>
    <row r="30" spans="1:7" x14ac:dyDescent="0.3">
      <c r="A30" s="7" t="s">
        <v>58</v>
      </c>
      <c r="B30" t="s">
        <v>31</v>
      </c>
      <c r="C30">
        <v>0</v>
      </c>
      <c r="D30">
        <v>41514</v>
      </c>
      <c r="E30">
        <f t="shared" si="0"/>
        <v>0</v>
      </c>
      <c r="F30">
        <f t="shared" si="1"/>
        <v>39438</v>
      </c>
      <c r="G30">
        <f t="shared" si="2"/>
        <v>39438</v>
      </c>
    </row>
    <row r="31" spans="1:7" x14ac:dyDescent="0.3">
      <c r="A31" s="7" t="s">
        <v>59</v>
      </c>
      <c r="B31" t="s">
        <v>31</v>
      </c>
      <c r="C31">
        <v>0</v>
      </c>
      <c r="D31">
        <v>41502</v>
      </c>
      <c r="E31">
        <f t="shared" si="0"/>
        <v>0</v>
      </c>
      <c r="F31">
        <f t="shared" si="1"/>
        <v>39427</v>
      </c>
      <c r="G31">
        <f t="shared" si="2"/>
        <v>39427</v>
      </c>
    </row>
    <row r="32" spans="1:7" x14ac:dyDescent="0.3">
      <c r="A32" s="7" t="s">
        <v>60</v>
      </c>
      <c r="B32" t="s">
        <v>31</v>
      </c>
      <c r="C32">
        <v>0</v>
      </c>
      <c r="D32">
        <v>41454</v>
      </c>
      <c r="E32">
        <f t="shared" si="0"/>
        <v>0</v>
      </c>
      <c r="F32">
        <f t="shared" si="1"/>
        <v>39381</v>
      </c>
      <c r="G32">
        <f t="shared" si="2"/>
        <v>39381</v>
      </c>
    </row>
    <row r="33" spans="1:7" x14ac:dyDescent="0.3">
      <c r="A33" s="3" t="s">
        <v>61</v>
      </c>
      <c r="B33" t="s">
        <v>31</v>
      </c>
      <c r="C33">
        <v>0</v>
      </c>
      <c r="D33">
        <v>41418</v>
      </c>
      <c r="E33">
        <f t="shared" si="0"/>
        <v>0</v>
      </c>
      <c r="F33">
        <f t="shared" si="1"/>
        <v>39347</v>
      </c>
      <c r="G33">
        <f t="shared" si="2"/>
        <v>39347</v>
      </c>
    </row>
    <row r="34" spans="1:7" x14ac:dyDescent="0.3">
      <c r="A34" s="6" t="s">
        <v>62</v>
      </c>
      <c r="B34" t="s">
        <v>31</v>
      </c>
      <c r="C34">
        <v>0</v>
      </c>
      <c r="D34">
        <v>41321</v>
      </c>
      <c r="E34">
        <f t="shared" ref="E34:E65" si="3">ROUND(C34/D34*100,2)</f>
        <v>0</v>
      </c>
      <c r="F34">
        <f t="shared" ref="F34:F61" si="4">ROUND(D34*0.95,0)</f>
        <v>39255</v>
      </c>
      <c r="G34">
        <f t="shared" ref="G34:G65" si="5">ROUND(F34-C34,0)</f>
        <v>39255</v>
      </c>
    </row>
    <row r="35" spans="1:7" x14ac:dyDescent="0.3">
      <c r="A35" s="7" t="s">
        <v>63</v>
      </c>
      <c r="B35" t="s">
        <v>31</v>
      </c>
      <c r="C35">
        <v>0</v>
      </c>
      <c r="D35">
        <v>41321</v>
      </c>
      <c r="E35">
        <f t="shared" si="3"/>
        <v>0</v>
      </c>
      <c r="F35">
        <f t="shared" si="4"/>
        <v>39255</v>
      </c>
      <c r="G35">
        <f t="shared" si="5"/>
        <v>39255</v>
      </c>
    </row>
    <row r="36" spans="1:7" x14ac:dyDescent="0.3">
      <c r="A36" s="6" t="s">
        <v>64</v>
      </c>
      <c r="B36" t="s">
        <v>29</v>
      </c>
      <c r="C36">
        <v>0</v>
      </c>
      <c r="D36">
        <v>41302</v>
      </c>
      <c r="E36">
        <f t="shared" si="3"/>
        <v>0</v>
      </c>
      <c r="F36">
        <f t="shared" si="4"/>
        <v>39237</v>
      </c>
      <c r="G36">
        <f t="shared" si="5"/>
        <v>39237</v>
      </c>
    </row>
    <row r="37" spans="1:7" x14ac:dyDescent="0.3">
      <c r="A37" s="6" t="s">
        <v>65</v>
      </c>
      <c r="B37" t="s">
        <v>29</v>
      </c>
      <c r="C37">
        <v>0</v>
      </c>
      <c r="D37">
        <v>41302</v>
      </c>
      <c r="E37">
        <f t="shared" si="3"/>
        <v>0</v>
      </c>
      <c r="F37">
        <f t="shared" si="4"/>
        <v>39237</v>
      </c>
      <c r="G37">
        <f t="shared" si="5"/>
        <v>39237</v>
      </c>
    </row>
    <row r="38" spans="1:7" x14ac:dyDescent="0.3">
      <c r="A38" s="10" t="s">
        <v>66</v>
      </c>
      <c r="B38" t="s">
        <v>31</v>
      </c>
      <c r="C38">
        <v>0</v>
      </c>
      <c r="D38">
        <v>41300</v>
      </c>
      <c r="E38">
        <f t="shared" si="3"/>
        <v>0</v>
      </c>
      <c r="F38">
        <f t="shared" si="4"/>
        <v>39235</v>
      </c>
      <c r="G38">
        <f t="shared" si="5"/>
        <v>39235</v>
      </c>
    </row>
    <row r="39" spans="1:7" x14ac:dyDescent="0.3">
      <c r="A39" s="11" t="s">
        <v>67</v>
      </c>
      <c r="B39" t="s">
        <v>31</v>
      </c>
      <c r="C39">
        <v>0</v>
      </c>
      <c r="D39">
        <v>41217</v>
      </c>
      <c r="E39">
        <f t="shared" si="3"/>
        <v>0</v>
      </c>
      <c r="F39">
        <f t="shared" si="4"/>
        <v>39156</v>
      </c>
      <c r="G39">
        <f t="shared" si="5"/>
        <v>39156</v>
      </c>
    </row>
    <row r="40" spans="1:7" x14ac:dyDescent="0.3">
      <c r="A40" s="3" t="s">
        <v>68</v>
      </c>
      <c r="B40" t="s">
        <v>31</v>
      </c>
      <c r="C40">
        <v>0</v>
      </c>
      <c r="D40">
        <v>41087</v>
      </c>
      <c r="E40">
        <f t="shared" si="3"/>
        <v>0</v>
      </c>
      <c r="F40">
        <f t="shared" si="4"/>
        <v>39033</v>
      </c>
      <c r="G40">
        <f t="shared" si="5"/>
        <v>39033</v>
      </c>
    </row>
    <row r="41" spans="1:7" x14ac:dyDescent="0.3">
      <c r="A41" s="3" t="s">
        <v>69</v>
      </c>
      <c r="B41" t="s">
        <v>29</v>
      </c>
      <c r="C41">
        <v>0</v>
      </c>
      <c r="D41">
        <v>41080</v>
      </c>
      <c r="E41">
        <f t="shared" si="3"/>
        <v>0</v>
      </c>
      <c r="F41">
        <f t="shared" si="4"/>
        <v>39026</v>
      </c>
      <c r="G41">
        <f t="shared" si="5"/>
        <v>39026</v>
      </c>
    </row>
    <row r="42" spans="1:7" x14ac:dyDescent="0.3">
      <c r="A42" s="6" t="s">
        <v>70</v>
      </c>
      <c r="B42" t="s">
        <v>31</v>
      </c>
      <c r="C42">
        <v>0</v>
      </c>
      <c r="D42">
        <v>41055</v>
      </c>
      <c r="E42">
        <f t="shared" si="3"/>
        <v>0</v>
      </c>
      <c r="F42">
        <f t="shared" si="4"/>
        <v>39002</v>
      </c>
      <c r="G42">
        <f t="shared" si="5"/>
        <v>39002</v>
      </c>
    </row>
    <row r="43" spans="1:7" x14ac:dyDescent="0.3">
      <c r="A43" s="2" t="s">
        <v>71</v>
      </c>
      <c r="B43" t="s">
        <v>31</v>
      </c>
      <c r="C43">
        <v>0</v>
      </c>
      <c r="D43">
        <v>41009</v>
      </c>
      <c r="E43">
        <f t="shared" si="3"/>
        <v>0</v>
      </c>
      <c r="F43">
        <f t="shared" si="4"/>
        <v>38959</v>
      </c>
      <c r="G43">
        <f t="shared" si="5"/>
        <v>38959</v>
      </c>
    </row>
    <row r="44" spans="1:7" x14ac:dyDescent="0.3">
      <c r="A44" s="6" t="s">
        <v>72</v>
      </c>
      <c r="B44" t="s">
        <v>31</v>
      </c>
      <c r="C44">
        <v>0</v>
      </c>
      <c r="D44">
        <v>40923</v>
      </c>
      <c r="E44">
        <f t="shared" si="3"/>
        <v>0</v>
      </c>
      <c r="F44">
        <f t="shared" si="4"/>
        <v>38877</v>
      </c>
      <c r="G44">
        <f t="shared" si="5"/>
        <v>38877</v>
      </c>
    </row>
    <row r="45" spans="1:7" x14ac:dyDescent="0.3">
      <c r="A45" s="7" t="s">
        <v>73</v>
      </c>
      <c r="B45" t="s">
        <v>31</v>
      </c>
      <c r="C45">
        <v>0</v>
      </c>
      <c r="D45">
        <v>40920</v>
      </c>
      <c r="E45">
        <f t="shared" si="3"/>
        <v>0</v>
      </c>
      <c r="F45">
        <f t="shared" si="4"/>
        <v>38874</v>
      </c>
      <c r="G45">
        <f t="shared" si="5"/>
        <v>38874</v>
      </c>
    </row>
    <row r="46" spans="1:7" x14ac:dyDescent="0.3">
      <c r="A46" s="7" t="s">
        <v>74</v>
      </c>
      <c r="B46" t="s">
        <v>31</v>
      </c>
      <c r="C46">
        <v>0</v>
      </c>
      <c r="D46">
        <v>40791</v>
      </c>
      <c r="E46">
        <f t="shared" si="3"/>
        <v>0</v>
      </c>
      <c r="F46">
        <f t="shared" si="4"/>
        <v>38751</v>
      </c>
      <c r="G46">
        <f t="shared" si="5"/>
        <v>38751</v>
      </c>
    </row>
    <row r="47" spans="1:7" x14ac:dyDescent="0.3">
      <c r="A47" s="7" t="s">
        <v>75</v>
      </c>
      <c r="B47" t="s">
        <v>31</v>
      </c>
      <c r="C47">
        <v>0</v>
      </c>
      <c r="D47">
        <v>40782</v>
      </c>
      <c r="E47">
        <f t="shared" si="3"/>
        <v>0</v>
      </c>
      <c r="F47">
        <f t="shared" si="4"/>
        <v>38743</v>
      </c>
      <c r="G47">
        <f t="shared" si="5"/>
        <v>38743</v>
      </c>
    </row>
    <row r="48" spans="1:7" x14ac:dyDescent="0.3">
      <c r="A48" s="2" t="s">
        <v>76</v>
      </c>
      <c r="B48" t="s">
        <v>31</v>
      </c>
      <c r="C48">
        <v>0</v>
      </c>
      <c r="D48">
        <v>40774</v>
      </c>
      <c r="E48">
        <f t="shared" si="3"/>
        <v>0</v>
      </c>
      <c r="F48">
        <f t="shared" si="4"/>
        <v>38735</v>
      </c>
      <c r="G48">
        <f t="shared" si="5"/>
        <v>38735</v>
      </c>
    </row>
    <row r="49" spans="1:7" x14ac:dyDescent="0.3">
      <c r="A49" s="2" t="s">
        <v>77</v>
      </c>
      <c r="B49" t="s">
        <v>31</v>
      </c>
      <c r="C49">
        <v>0</v>
      </c>
      <c r="D49">
        <v>40746</v>
      </c>
      <c r="E49">
        <f t="shared" si="3"/>
        <v>0</v>
      </c>
      <c r="F49">
        <f t="shared" si="4"/>
        <v>38709</v>
      </c>
      <c r="G49">
        <f t="shared" si="5"/>
        <v>38709</v>
      </c>
    </row>
    <row r="50" spans="1:7" x14ac:dyDescent="0.3">
      <c r="A50" s="4" t="s">
        <v>78</v>
      </c>
      <c r="B50" t="s">
        <v>29</v>
      </c>
      <c r="C50">
        <v>0</v>
      </c>
      <c r="D50">
        <v>40667</v>
      </c>
      <c r="E50">
        <f t="shared" si="3"/>
        <v>0</v>
      </c>
      <c r="F50">
        <f t="shared" si="4"/>
        <v>38634</v>
      </c>
      <c r="G50">
        <f t="shared" si="5"/>
        <v>38634</v>
      </c>
    </row>
    <row r="51" spans="1:7" x14ac:dyDescent="0.3">
      <c r="A51" s="6" t="s">
        <v>79</v>
      </c>
      <c r="B51" t="s">
        <v>29</v>
      </c>
      <c r="C51">
        <v>0</v>
      </c>
      <c r="D51">
        <v>40628</v>
      </c>
      <c r="E51">
        <f t="shared" si="3"/>
        <v>0</v>
      </c>
      <c r="F51">
        <f t="shared" si="4"/>
        <v>38597</v>
      </c>
      <c r="G51">
        <f t="shared" si="5"/>
        <v>38597</v>
      </c>
    </row>
    <row r="52" spans="1:7" x14ac:dyDescent="0.3">
      <c r="A52" s="2" t="s">
        <v>80</v>
      </c>
      <c r="B52" t="s">
        <v>31</v>
      </c>
      <c r="C52">
        <v>0</v>
      </c>
      <c r="D52">
        <v>40413</v>
      </c>
      <c r="E52">
        <f t="shared" si="3"/>
        <v>0</v>
      </c>
      <c r="F52">
        <f t="shared" si="4"/>
        <v>38392</v>
      </c>
      <c r="G52">
        <f t="shared" si="5"/>
        <v>38392</v>
      </c>
    </row>
    <row r="53" spans="1:7" x14ac:dyDescent="0.3">
      <c r="A53" s="9" t="s">
        <v>81</v>
      </c>
      <c r="B53" t="s">
        <v>29</v>
      </c>
      <c r="C53">
        <v>0</v>
      </c>
      <c r="D53">
        <v>40060</v>
      </c>
      <c r="E53">
        <f t="shared" si="3"/>
        <v>0</v>
      </c>
      <c r="F53">
        <f t="shared" si="4"/>
        <v>38057</v>
      </c>
      <c r="G53">
        <f t="shared" si="5"/>
        <v>38057</v>
      </c>
    </row>
    <row r="54" spans="1:7" x14ac:dyDescent="0.3">
      <c r="A54" s="11" t="s">
        <v>82</v>
      </c>
      <c r="B54" t="s">
        <v>29</v>
      </c>
      <c r="C54">
        <v>0</v>
      </c>
      <c r="D54">
        <v>39982</v>
      </c>
      <c r="E54">
        <f t="shared" si="3"/>
        <v>0</v>
      </c>
      <c r="F54">
        <f t="shared" si="4"/>
        <v>37983</v>
      </c>
      <c r="G54">
        <f t="shared" si="5"/>
        <v>37983</v>
      </c>
    </row>
    <row r="55" spans="1:7" x14ac:dyDescent="0.3">
      <c r="A55" s="5" t="s">
        <v>83</v>
      </c>
      <c r="B55" t="s">
        <v>31</v>
      </c>
      <c r="C55">
        <v>0</v>
      </c>
      <c r="D55">
        <v>39871</v>
      </c>
      <c r="E55">
        <f t="shared" si="3"/>
        <v>0</v>
      </c>
      <c r="F55">
        <f t="shared" si="4"/>
        <v>37877</v>
      </c>
      <c r="G55">
        <f t="shared" si="5"/>
        <v>37877</v>
      </c>
    </row>
    <row r="56" spans="1:7" x14ac:dyDescent="0.3">
      <c r="A56" s="5" t="s">
        <v>84</v>
      </c>
      <c r="B56" t="s">
        <v>31</v>
      </c>
      <c r="C56">
        <v>0</v>
      </c>
      <c r="D56">
        <v>39858</v>
      </c>
      <c r="E56">
        <f t="shared" si="3"/>
        <v>0</v>
      </c>
      <c r="F56">
        <f t="shared" si="4"/>
        <v>37865</v>
      </c>
      <c r="G56">
        <f t="shared" si="5"/>
        <v>37865</v>
      </c>
    </row>
    <row r="57" spans="1:7" x14ac:dyDescent="0.3">
      <c r="A57" s="3" t="s">
        <v>85</v>
      </c>
      <c r="B57" t="s">
        <v>31</v>
      </c>
      <c r="C57">
        <v>0</v>
      </c>
      <c r="D57">
        <v>39709</v>
      </c>
      <c r="E57">
        <f t="shared" si="3"/>
        <v>0</v>
      </c>
      <c r="F57">
        <f t="shared" si="4"/>
        <v>37724</v>
      </c>
      <c r="G57">
        <f t="shared" si="5"/>
        <v>37724</v>
      </c>
    </row>
    <row r="58" spans="1:7" x14ac:dyDescent="0.3">
      <c r="A58" s="8" t="s">
        <v>86</v>
      </c>
      <c r="B58" t="s">
        <v>29</v>
      </c>
      <c r="C58">
        <v>0</v>
      </c>
      <c r="D58">
        <v>39115</v>
      </c>
      <c r="E58">
        <f t="shared" si="3"/>
        <v>0</v>
      </c>
      <c r="F58">
        <f t="shared" si="4"/>
        <v>37159</v>
      </c>
      <c r="G58">
        <f t="shared" si="5"/>
        <v>37159</v>
      </c>
    </row>
    <row r="59" spans="1:7" x14ac:dyDescent="0.3">
      <c r="A59" s="7" t="s">
        <v>87</v>
      </c>
      <c r="B59" t="s">
        <v>29</v>
      </c>
      <c r="C59">
        <v>0</v>
      </c>
      <c r="D59">
        <v>38625</v>
      </c>
      <c r="E59">
        <f t="shared" si="3"/>
        <v>0</v>
      </c>
      <c r="F59">
        <f t="shared" si="4"/>
        <v>36694</v>
      </c>
      <c r="G59">
        <f t="shared" si="5"/>
        <v>36694</v>
      </c>
    </row>
    <row r="60" spans="1:7" x14ac:dyDescent="0.3">
      <c r="A60" s="10" t="s">
        <v>88</v>
      </c>
      <c r="B60" t="s">
        <v>31</v>
      </c>
      <c r="C60">
        <v>0</v>
      </c>
      <c r="D60">
        <v>36921</v>
      </c>
      <c r="E60">
        <f t="shared" si="3"/>
        <v>0</v>
      </c>
      <c r="F60">
        <f t="shared" si="4"/>
        <v>35075</v>
      </c>
      <c r="G60">
        <f t="shared" si="5"/>
        <v>35075</v>
      </c>
    </row>
    <row r="61" spans="1:7" x14ac:dyDescent="0.3">
      <c r="A61" s="7" t="s">
        <v>89</v>
      </c>
      <c r="B61" t="s">
        <v>29</v>
      </c>
      <c r="C61">
        <v>0</v>
      </c>
      <c r="D61">
        <v>0</v>
      </c>
      <c r="E61" t="e">
        <f t="shared" si="3"/>
        <v>#DIV/0!</v>
      </c>
      <c r="F61">
        <f t="shared" si="4"/>
        <v>0</v>
      </c>
      <c r="G61">
        <f t="shared" si="5"/>
        <v>0</v>
      </c>
    </row>
  </sheetData>
  <autoFilter ref="A1:G61" xr:uid="{00000000-0009-0000-0000-000001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/>
  </sheetViews>
  <sheetFormatPr defaultRowHeight="14.4" x14ac:dyDescent="0.3"/>
  <sheetData>
    <row r="1" spans="1:7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3">
      <c r="A2" s="6" t="s">
        <v>90</v>
      </c>
      <c r="B2" t="s">
        <v>31</v>
      </c>
      <c r="C2">
        <v>0</v>
      </c>
      <c r="D2">
        <v>38512</v>
      </c>
      <c r="E2">
        <f t="shared" ref="E2:E19" si="0">ROUND(C2/D2*100,2)</f>
        <v>0</v>
      </c>
      <c r="F2">
        <f t="shared" ref="F2:F19" si="1">ROUND(D2*0.95,0)</f>
        <v>36586</v>
      </c>
      <c r="G2">
        <f t="shared" ref="G2:G19" si="2">ROUND(F2-C2,0)</f>
        <v>36586</v>
      </c>
    </row>
    <row r="3" spans="1:7" x14ac:dyDescent="0.3">
      <c r="A3" s="2" t="s">
        <v>91</v>
      </c>
      <c r="B3" t="s">
        <v>31</v>
      </c>
      <c r="C3">
        <v>0</v>
      </c>
      <c r="D3">
        <v>36532</v>
      </c>
      <c r="E3">
        <f t="shared" si="0"/>
        <v>0</v>
      </c>
      <c r="F3">
        <f t="shared" si="1"/>
        <v>34705</v>
      </c>
      <c r="G3">
        <f t="shared" si="2"/>
        <v>34705</v>
      </c>
    </row>
    <row r="4" spans="1:7" x14ac:dyDescent="0.3">
      <c r="A4" s="2" t="s">
        <v>92</v>
      </c>
      <c r="B4" t="s">
        <v>31</v>
      </c>
      <c r="C4">
        <v>0</v>
      </c>
      <c r="D4">
        <v>36146</v>
      </c>
      <c r="E4">
        <f t="shared" si="0"/>
        <v>0</v>
      </c>
      <c r="F4">
        <f t="shared" si="1"/>
        <v>34339</v>
      </c>
      <c r="G4">
        <f t="shared" si="2"/>
        <v>34339</v>
      </c>
    </row>
    <row r="5" spans="1:7" x14ac:dyDescent="0.3">
      <c r="A5" s="3" t="s">
        <v>93</v>
      </c>
      <c r="B5" t="s">
        <v>31</v>
      </c>
      <c r="C5">
        <v>0</v>
      </c>
      <c r="D5">
        <v>35556</v>
      </c>
      <c r="E5">
        <f t="shared" si="0"/>
        <v>0</v>
      </c>
      <c r="F5">
        <f t="shared" si="1"/>
        <v>33778</v>
      </c>
      <c r="G5">
        <f t="shared" si="2"/>
        <v>33778</v>
      </c>
    </row>
    <row r="6" spans="1:7" x14ac:dyDescent="0.3">
      <c r="A6" s="4" t="s">
        <v>94</v>
      </c>
      <c r="B6" t="s">
        <v>31</v>
      </c>
      <c r="C6">
        <v>0</v>
      </c>
      <c r="D6">
        <v>35416</v>
      </c>
      <c r="E6">
        <f t="shared" si="0"/>
        <v>0</v>
      </c>
      <c r="F6">
        <f t="shared" si="1"/>
        <v>33645</v>
      </c>
      <c r="G6">
        <f t="shared" si="2"/>
        <v>33645</v>
      </c>
    </row>
    <row r="7" spans="1:7" x14ac:dyDescent="0.3">
      <c r="A7" s="3" t="s">
        <v>95</v>
      </c>
      <c r="B7" t="s">
        <v>31</v>
      </c>
      <c r="C7">
        <v>0</v>
      </c>
      <c r="D7">
        <v>34771</v>
      </c>
      <c r="E7">
        <f t="shared" si="0"/>
        <v>0</v>
      </c>
      <c r="F7">
        <f t="shared" si="1"/>
        <v>33032</v>
      </c>
      <c r="G7">
        <f t="shared" si="2"/>
        <v>33032</v>
      </c>
    </row>
    <row r="8" spans="1:7" x14ac:dyDescent="0.3">
      <c r="A8" s="10" t="s">
        <v>96</v>
      </c>
      <c r="B8" t="s">
        <v>29</v>
      </c>
      <c r="C8">
        <v>0</v>
      </c>
      <c r="D8">
        <v>34688</v>
      </c>
      <c r="E8">
        <f t="shared" si="0"/>
        <v>0</v>
      </c>
      <c r="F8">
        <f t="shared" si="1"/>
        <v>32954</v>
      </c>
      <c r="G8">
        <f t="shared" si="2"/>
        <v>32954</v>
      </c>
    </row>
    <row r="9" spans="1:7" x14ac:dyDescent="0.3">
      <c r="A9" s="10" t="s">
        <v>97</v>
      </c>
      <c r="B9" t="s">
        <v>29</v>
      </c>
      <c r="C9">
        <v>0</v>
      </c>
      <c r="D9">
        <v>34670</v>
      </c>
      <c r="E9">
        <f t="shared" si="0"/>
        <v>0</v>
      </c>
      <c r="F9">
        <f t="shared" si="1"/>
        <v>32937</v>
      </c>
      <c r="G9">
        <f t="shared" si="2"/>
        <v>32937</v>
      </c>
    </row>
    <row r="10" spans="1:7" x14ac:dyDescent="0.3">
      <c r="A10" s="7" t="s">
        <v>98</v>
      </c>
      <c r="B10" t="s">
        <v>31</v>
      </c>
      <c r="C10">
        <v>0</v>
      </c>
      <c r="D10">
        <v>34518</v>
      </c>
      <c r="E10">
        <f t="shared" si="0"/>
        <v>0</v>
      </c>
      <c r="F10">
        <f t="shared" si="1"/>
        <v>32792</v>
      </c>
      <c r="G10">
        <f t="shared" si="2"/>
        <v>32792</v>
      </c>
    </row>
    <row r="11" spans="1:7" x14ac:dyDescent="0.3">
      <c r="A11" s="7" t="s">
        <v>99</v>
      </c>
      <c r="B11" t="s">
        <v>31</v>
      </c>
      <c r="C11">
        <v>0</v>
      </c>
      <c r="D11">
        <v>34372</v>
      </c>
      <c r="E11">
        <f t="shared" si="0"/>
        <v>0</v>
      </c>
      <c r="F11">
        <f t="shared" si="1"/>
        <v>32653</v>
      </c>
      <c r="G11">
        <f t="shared" si="2"/>
        <v>32653</v>
      </c>
    </row>
    <row r="12" spans="1:7" x14ac:dyDescent="0.3">
      <c r="A12" s="6" t="s">
        <v>100</v>
      </c>
      <c r="B12" t="s">
        <v>29</v>
      </c>
      <c r="C12">
        <v>0</v>
      </c>
      <c r="D12">
        <v>33853</v>
      </c>
      <c r="E12">
        <f t="shared" si="0"/>
        <v>0</v>
      </c>
      <c r="F12">
        <f t="shared" si="1"/>
        <v>32160</v>
      </c>
      <c r="G12">
        <f t="shared" si="2"/>
        <v>32160</v>
      </c>
    </row>
    <row r="13" spans="1:7" x14ac:dyDescent="0.3">
      <c r="A13" s="7" t="s">
        <v>101</v>
      </c>
      <c r="B13" t="s">
        <v>31</v>
      </c>
      <c r="C13">
        <v>0</v>
      </c>
      <c r="D13">
        <v>33818</v>
      </c>
      <c r="E13">
        <f t="shared" si="0"/>
        <v>0</v>
      </c>
      <c r="F13">
        <f t="shared" si="1"/>
        <v>32127</v>
      </c>
      <c r="G13">
        <f t="shared" si="2"/>
        <v>32127</v>
      </c>
    </row>
    <row r="14" spans="1:7" x14ac:dyDescent="0.3">
      <c r="A14" s="10" t="s">
        <v>102</v>
      </c>
      <c r="B14" t="s">
        <v>31</v>
      </c>
      <c r="C14">
        <v>0</v>
      </c>
      <c r="D14">
        <v>33459</v>
      </c>
      <c r="E14">
        <f t="shared" si="0"/>
        <v>0</v>
      </c>
      <c r="F14">
        <f t="shared" si="1"/>
        <v>31786</v>
      </c>
      <c r="G14">
        <f t="shared" si="2"/>
        <v>31786</v>
      </c>
    </row>
    <row r="15" spans="1:7" x14ac:dyDescent="0.3">
      <c r="A15" s="10" t="s">
        <v>103</v>
      </c>
      <c r="B15" t="s">
        <v>31</v>
      </c>
      <c r="C15">
        <v>0</v>
      </c>
      <c r="D15">
        <v>32850</v>
      </c>
      <c r="E15">
        <f t="shared" si="0"/>
        <v>0</v>
      </c>
      <c r="F15">
        <f t="shared" si="1"/>
        <v>31208</v>
      </c>
      <c r="G15">
        <f t="shared" si="2"/>
        <v>31208</v>
      </c>
    </row>
    <row r="16" spans="1:7" x14ac:dyDescent="0.3">
      <c r="A16" s="9" t="s">
        <v>104</v>
      </c>
      <c r="B16" t="s">
        <v>29</v>
      </c>
      <c r="C16">
        <v>0</v>
      </c>
      <c r="D16">
        <v>32404</v>
      </c>
      <c r="E16">
        <f t="shared" si="0"/>
        <v>0</v>
      </c>
      <c r="F16">
        <f t="shared" si="1"/>
        <v>30784</v>
      </c>
      <c r="G16">
        <f t="shared" si="2"/>
        <v>30784</v>
      </c>
    </row>
    <row r="17" spans="1:7" x14ac:dyDescent="0.3">
      <c r="A17" s="2" t="s">
        <v>105</v>
      </c>
      <c r="B17" t="s">
        <v>31</v>
      </c>
      <c r="C17">
        <v>0</v>
      </c>
      <c r="D17">
        <v>31884</v>
      </c>
      <c r="E17">
        <f t="shared" si="0"/>
        <v>0</v>
      </c>
      <c r="F17">
        <f t="shared" si="1"/>
        <v>30290</v>
      </c>
      <c r="G17">
        <f t="shared" si="2"/>
        <v>30290</v>
      </c>
    </row>
    <row r="18" spans="1:7" x14ac:dyDescent="0.3">
      <c r="A18" s="2" t="s">
        <v>106</v>
      </c>
      <c r="B18" t="s">
        <v>31</v>
      </c>
      <c r="C18">
        <v>0</v>
      </c>
      <c r="D18">
        <v>31579</v>
      </c>
      <c r="E18">
        <f t="shared" si="0"/>
        <v>0</v>
      </c>
      <c r="F18">
        <f t="shared" si="1"/>
        <v>30000</v>
      </c>
      <c r="G18">
        <f t="shared" si="2"/>
        <v>30000</v>
      </c>
    </row>
    <row r="19" spans="1:7" x14ac:dyDescent="0.3">
      <c r="A19" s="8" t="s">
        <v>107</v>
      </c>
      <c r="B19" t="s">
        <v>31</v>
      </c>
      <c r="C19">
        <v>0</v>
      </c>
      <c r="D19">
        <v>0</v>
      </c>
      <c r="E19" t="e">
        <f t="shared" si="0"/>
        <v>#DIV/0!</v>
      </c>
      <c r="F19">
        <f t="shared" si="1"/>
        <v>0</v>
      </c>
      <c r="G19">
        <f t="shared" si="2"/>
        <v>0</v>
      </c>
    </row>
  </sheetData>
  <autoFilter ref="A1:G19" xr:uid="{00000000-0009-0000-0000-000002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workbookViewId="0"/>
  </sheetViews>
  <sheetFormatPr defaultRowHeight="14.4" x14ac:dyDescent="0.3"/>
  <sheetData>
    <row r="1" spans="1:7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 x14ac:dyDescent="0.3">
      <c r="A2" s="7" t="s">
        <v>89</v>
      </c>
      <c r="B2" t="s">
        <v>29</v>
      </c>
      <c r="C2">
        <v>0</v>
      </c>
      <c r="D2">
        <v>43158</v>
      </c>
      <c r="E2">
        <f t="shared" ref="E2:E24" si="0">ROUND(C2/D2*100,2)</f>
        <v>0</v>
      </c>
      <c r="F2">
        <f t="shared" ref="F2:F24" si="1">ROUND(D2*0.95,0)</f>
        <v>41000</v>
      </c>
      <c r="G2">
        <f t="shared" ref="G2:G24" si="2">ROUND(F2-C2,0)</f>
        <v>41000</v>
      </c>
    </row>
    <row r="3" spans="1:7" x14ac:dyDescent="0.3">
      <c r="A3" s="7" t="s">
        <v>108</v>
      </c>
      <c r="B3" t="s">
        <v>31</v>
      </c>
      <c r="C3">
        <v>0</v>
      </c>
      <c r="D3">
        <v>39651</v>
      </c>
      <c r="E3">
        <f t="shared" si="0"/>
        <v>0</v>
      </c>
      <c r="F3">
        <f t="shared" si="1"/>
        <v>37668</v>
      </c>
      <c r="G3">
        <f t="shared" si="2"/>
        <v>37668</v>
      </c>
    </row>
    <row r="4" spans="1:7" x14ac:dyDescent="0.3">
      <c r="A4" s="6" t="s">
        <v>109</v>
      </c>
      <c r="B4" t="s">
        <v>31</v>
      </c>
      <c r="C4">
        <v>0</v>
      </c>
      <c r="D4">
        <v>38555</v>
      </c>
      <c r="E4">
        <f t="shared" si="0"/>
        <v>0</v>
      </c>
      <c r="F4">
        <f t="shared" si="1"/>
        <v>36627</v>
      </c>
      <c r="G4">
        <f t="shared" si="2"/>
        <v>36627</v>
      </c>
    </row>
    <row r="5" spans="1:7" x14ac:dyDescent="0.3">
      <c r="A5" s="3" t="s">
        <v>110</v>
      </c>
      <c r="B5" t="s">
        <v>29</v>
      </c>
      <c r="C5">
        <v>0</v>
      </c>
      <c r="D5">
        <v>38480</v>
      </c>
      <c r="E5">
        <f t="shared" si="0"/>
        <v>0</v>
      </c>
      <c r="F5">
        <f t="shared" si="1"/>
        <v>36556</v>
      </c>
      <c r="G5">
        <f t="shared" si="2"/>
        <v>36556</v>
      </c>
    </row>
    <row r="6" spans="1:7" x14ac:dyDescent="0.3">
      <c r="A6" s="6" t="s">
        <v>111</v>
      </c>
      <c r="B6" t="s">
        <v>31</v>
      </c>
      <c r="C6">
        <v>0</v>
      </c>
      <c r="D6">
        <v>37347</v>
      </c>
      <c r="E6">
        <f t="shared" si="0"/>
        <v>0</v>
      </c>
      <c r="F6">
        <f t="shared" si="1"/>
        <v>35480</v>
      </c>
      <c r="G6">
        <f t="shared" si="2"/>
        <v>35480</v>
      </c>
    </row>
    <row r="7" spans="1:7" x14ac:dyDescent="0.3">
      <c r="A7" s="9" t="s">
        <v>112</v>
      </c>
      <c r="B7" t="s">
        <v>31</v>
      </c>
      <c r="C7">
        <v>0</v>
      </c>
      <c r="D7">
        <v>36217</v>
      </c>
      <c r="E7">
        <f t="shared" si="0"/>
        <v>0</v>
      </c>
      <c r="F7">
        <f t="shared" si="1"/>
        <v>34406</v>
      </c>
      <c r="G7">
        <f t="shared" si="2"/>
        <v>34406</v>
      </c>
    </row>
    <row r="8" spans="1:7" x14ac:dyDescent="0.3">
      <c r="A8" s="9" t="s">
        <v>113</v>
      </c>
      <c r="B8" t="s">
        <v>29</v>
      </c>
      <c r="C8">
        <v>0</v>
      </c>
      <c r="D8">
        <v>35601</v>
      </c>
      <c r="E8">
        <f t="shared" si="0"/>
        <v>0</v>
      </c>
      <c r="F8">
        <f t="shared" si="1"/>
        <v>33821</v>
      </c>
      <c r="G8">
        <f t="shared" si="2"/>
        <v>33821</v>
      </c>
    </row>
    <row r="9" spans="1:7" x14ac:dyDescent="0.3">
      <c r="A9" s="8" t="s">
        <v>107</v>
      </c>
      <c r="B9" t="s">
        <v>31</v>
      </c>
      <c r="C9">
        <v>0</v>
      </c>
      <c r="D9">
        <v>35435</v>
      </c>
      <c r="E9">
        <f t="shared" si="0"/>
        <v>0</v>
      </c>
      <c r="F9">
        <f t="shared" si="1"/>
        <v>33663</v>
      </c>
      <c r="G9">
        <f t="shared" si="2"/>
        <v>33663</v>
      </c>
    </row>
    <row r="10" spans="1:7" x14ac:dyDescent="0.3">
      <c r="A10" s="5" t="s">
        <v>114</v>
      </c>
      <c r="B10" t="s">
        <v>31</v>
      </c>
      <c r="C10">
        <v>0</v>
      </c>
      <c r="D10">
        <v>35258</v>
      </c>
      <c r="E10">
        <f t="shared" si="0"/>
        <v>0</v>
      </c>
      <c r="F10">
        <f t="shared" si="1"/>
        <v>33495</v>
      </c>
      <c r="G10">
        <f t="shared" si="2"/>
        <v>33495</v>
      </c>
    </row>
    <row r="11" spans="1:7" x14ac:dyDescent="0.3">
      <c r="A11" s="3" t="s">
        <v>115</v>
      </c>
      <c r="B11" t="s">
        <v>31</v>
      </c>
      <c r="C11">
        <v>0</v>
      </c>
      <c r="D11">
        <v>35168</v>
      </c>
      <c r="E11">
        <f t="shared" si="0"/>
        <v>0</v>
      </c>
      <c r="F11">
        <f t="shared" si="1"/>
        <v>33410</v>
      </c>
      <c r="G11">
        <f t="shared" si="2"/>
        <v>33410</v>
      </c>
    </row>
    <row r="12" spans="1:7" x14ac:dyDescent="0.3">
      <c r="A12" s="3" t="s">
        <v>116</v>
      </c>
      <c r="B12" t="s">
        <v>31</v>
      </c>
      <c r="C12">
        <v>0</v>
      </c>
      <c r="D12">
        <v>35096</v>
      </c>
      <c r="E12">
        <f t="shared" si="0"/>
        <v>0</v>
      </c>
      <c r="F12">
        <f t="shared" si="1"/>
        <v>33341</v>
      </c>
      <c r="G12">
        <f t="shared" si="2"/>
        <v>33341</v>
      </c>
    </row>
    <row r="13" spans="1:7" x14ac:dyDescent="0.3">
      <c r="A13" s="7" t="s">
        <v>117</v>
      </c>
      <c r="B13" t="s">
        <v>31</v>
      </c>
      <c r="C13">
        <v>0</v>
      </c>
      <c r="D13">
        <v>35068</v>
      </c>
      <c r="E13">
        <f t="shared" si="0"/>
        <v>0</v>
      </c>
      <c r="F13">
        <f t="shared" si="1"/>
        <v>33315</v>
      </c>
      <c r="G13">
        <f t="shared" si="2"/>
        <v>33315</v>
      </c>
    </row>
    <row r="14" spans="1:7" x14ac:dyDescent="0.3">
      <c r="A14" s="5" t="s">
        <v>118</v>
      </c>
      <c r="B14" t="s">
        <v>29</v>
      </c>
      <c r="C14">
        <v>0</v>
      </c>
      <c r="D14">
        <v>35006</v>
      </c>
      <c r="E14">
        <f t="shared" si="0"/>
        <v>0</v>
      </c>
      <c r="F14">
        <f t="shared" si="1"/>
        <v>33256</v>
      </c>
      <c r="G14">
        <f t="shared" si="2"/>
        <v>33256</v>
      </c>
    </row>
    <row r="15" spans="1:7" x14ac:dyDescent="0.3">
      <c r="A15" s="5" t="s">
        <v>119</v>
      </c>
      <c r="B15" t="s">
        <v>31</v>
      </c>
      <c r="C15">
        <v>0</v>
      </c>
      <c r="D15">
        <v>34281</v>
      </c>
      <c r="E15">
        <f t="shared" si="0"/>
        <v>0</v>
      </c>
      <c r="F15">
        <f t="shared" si="1"/>
        <v>32567</v>
      </c>
      <c r="G15">
        <f t="shared" si="2"/>
        <v>32567</v>
      </c>
    </row>
    <row r="16" spans="1:7" x14ac:dyDescent="0.3">
      <c r="A16" s="6" t="s">
        <v>120</v>
      </c>
      <c r="B16" t="s">
        <v>29</v>
      </c>
      <c r="C16">
        <v>0</v>
      </c>
      <c r="D16">
        <v>34208</v>
      </c>
      <c r="E16">
        <f t="shared" si="0"/>
        <v>0</v>
      </c>
      <c r="F16">
        <f t="shared" si="1"/>
        <v>32498</v>
      </c>
      <c r="G16">
        <f t="shared" si="2"/>
        <v>32498</v>
      </c>
    </row>
    <row r="17" spans="1:7" x14ac:dyDescent="0.3">
      <c r="A17" s="7" t="s">
        <v>121</v>
      </c>
      <c r="B17" t="s">
        <v>31</v>
      </c>
      <c r="C17">
        <v>0</v>
      </c>
      <c r="D17">
        <v>33825</v>
      </c>
      <c r="E17">
        <f t="shared" si="0"/>
        <v>0</v>
      </c>
      <c r="F17">
        <f t="shared" si="1"/>
        <v>32134</v>
      </c>
      <c r="G17">
        <f t="shared" si="2"/>
        <v>32134</v>
      </c>
    </row>
    <row r="18" spans="1:7" x14ac:dyDescent="0.3">
      <c r="A18" s="7" t="s">
        <v>122</v>
      </c>
      <c r="B18" t="s">
        <v>29</v>
      </c>
      <c r="C18">
        <v>0</v>
      </c>
      <c r="D18">
        <v>33356</v>
      </c>
      <c r="E18">
        <f t="shared" si="0"/>
        <v>0</v>
      </c>
      <c r="F18">
        <f t="shared" si="1"/>
        <v>31688</v>
      </c>
      <c r="G18">
        <f t="shared" si="2"/>
        <v>31688</v>
      </c>
    </row>
    <row r="19" spans="1:7" x14ac:dyDescent="0.3">
      <c r="A19" s="6" t="s">
        <v>123</v>
      </c>
      <c r="B19" t="s">
        <v>31</v>
      </c>
      <c r="C19">
        <v>0</v>
      </c>
      <c r="D19">
        <v>32221</v>
      </c>
      <c r="E19">
        <f t="shared" si="0"/>
        <v>0</v>
      </c>
      <c r="F19">
        <f t="shared" si="1"/>
        <v>30610</v>
      </c>
      <c r="G19">
        <f t="shared" si="2"/>
        <v>30610</v>
      </c>
    </row>
    <row r="20" spans="1:7" x14ac:dyDescent="0.3">
      <c r="A20" s="10" t="s">
        <v>124</v>
      </c>
      <c r="B20" t="s">
        <v>31</v>
      </c>
      <c r="C20">
        <v>0</v>
      </c>
      <c r="D20">
        <v>32154</v>
      </c>
      <c r="E20">
        <f t="shared" si="0"/>
        <v>0</v>
      </c>
      <c r="F20">
        <f t="shared" si="1"/>
        <v>30546</v>
      </c>
      <c r="G20">
        <f t="shared" si="2"/>
        <v>30546</v>
      </c>
    </row>
    <row r="21" spans="1:7" x14ac:dyDescent="0.3">
      <c r="A21" s="10" t="s">
        <v>125</v>
      </c>
      <c r="B21" t="s">
        <v>29</v>
      </c>
      <c r="C21">
        <v>0</v>
      </c>
      <c r="D21">
        <v>31289</v>
      </c>
      <c r="E21">
        <f t="shared" si="0"/>
        <v>0</v>
      </c>
      <c r="F21">
        <f t="shared" si="1"/>
        <v>29725</v>
      </c>
      <c r="G21">
        <f t="shared" si="2"/>
        <v>29725</v>
      </c>
    </row>
    <row r="22" spans="1:7" x14ac:dyDescent="0.3">
      <c r="A22" s="10" t="s">
        <v>126</v>
      </c>
      <c r="B22" t="s">
        <v>29</v>
      </c>
      <c r="C22">
        <v>0</v>
      </c>
      <c r="D22">
        <v>30789</v>
      </c>
      <c r="E22">
        <f t="shared" si="0"/>
        <v>0</v>
      </c>
      <c r="F22">
        <f t="shared" si="1"/>
        <v>29250</v>
      </c>
      <c r="G22">
        <f t="shared" si="2"/>
        <v>29250</v>
      </c>
    </row>
    <row r="23" spans="1:7" x14ac:dyDescent="0.3">
      <c r="A23" s="10" t="s">
        <v>127</v>
      </c>
      <c r="B23" t="s">
        <v>31</v>
      </c>
      <c r="C23">
        <v>0</v>
      </c>
      <c r="D23">
        <v>30311</v>
      </c>
      <c r="E23">
        <f t="shared" si="0"/>
        <v>0</v>
      </c>
      <c r="F23">
        <f t="shared" si="1"/>
        <v>28795</v>
      </c>
      <c r="G23">
        <f t="shared" si="2"/>
        <v>28795</v>
      </c>
    </row>
    <row r="24" spans="1:7" x14ac:dyDescent="0.3">
      <c r="A24" s="10" t="s">
        <v>128</v>
      </c>
      <c r="B24" t="s">
        <v>29</v>
      </c>
      <c r="C24">
        <v>0</v>
      </c>
      <c r="D24">
        <v>29698</v>
      </c>
      <c r="E24">
        <f t="shared" si="0"/>
        <v>0</v>
      </c>
      <c r="F24">
        <f t="shared" si="1"/>
        <v>28213</v>
      </c>
      <c r="G24">
        <f t="shared" si="2"/>
        <v>28213</v>
      </c>
    </row>
  </sheetData>
  <autoFilter ref="A1:G24" xr:uid="{00000000-0009-0000-0000-000003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zoomScale="220" zoomScaleNormal="220" workbookViewId="0">
      <selection activeCell="C14" sqref="C14"/>
    </sheetView>
  </sheetViews>
  <sheetFormatPr defaultRowHeight="14.4" x14ac:dyDescent="0.3"/>
  <cols>
    <col min="1" max="1" width="12.109375" bestFit="1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s="2" t="s">
        <v>3</v>
      </c>
    </row>
    <row r="3" spans="1:3" x14ac:dyDescent="0.3">
      <c r="A3" t="s">
        <v>5</v>
      </c>
      <c r="B3" t="s">
        <v>6</v>
      </c>
      <c r="C3" s="3" t="s">
        <v>5</v>
      </c>
    </row>
    <row r="4" spans="1:3" x14ac:dyDescent="0.3">
      <c r="A4" t="s">
        <v>7</v>
      </c>
      <c r="B4" t="s">
        <v>8</v>
      </c>
      <c r="C4" s="4" t="s">
        <v>7</v>
      </c>
    </row>
    <row r="5" spans="1:3" x14ac:dyDescent="0.3">
      <c r="A5" t="s">
        <v>9</v>
      </c>
      <c r="B5" t="s">
        <v>10</v>
      </c>
      <c r="C5" s="5" t="s">
        <v>9</v>
      </c>
    </row>
    <row r="6" spans="1:3" x14ac:dyDescent="0.3">
      <c r="A6" t="s">
        <v>11</v>
      </c>
      <c r="B6" t="s">
        <v>12</v>
      </c>
      <c r="C6" s="12" t="s">
        <v>11</v>
      </c>
    </row>
    <row r="7" spans="1:3" x14ac:dyDescent="0.3">
      <c r="A7" t="s">
        <v>13</v>
      </c>
      <c r="B7" t="s">
        <v>14</v>
      </c>
      <c r="C7" s="7" t="s">
        <v>13</v>
      </c>
    </row>
    <row r="8" spans="1:3" x14ac:dyDescent="0.3">
      <c r="A8" t="s">
        <v>15</v>
      </c>
      <c r="B8" t="s">
        <v>16</v>
      </c>
      <c r="C8" s="8" t="s">
        <v>15</v>
      </c>
    </row>
    <row r="9" spans="1:3" x14ac:dyDescent="0.3">
      <c r="A9" t="s">
        <v>17</v>
      </c>
      <c r="B9" t="s">
        <v>18</v>
      </c>
      <c r="C9" s="9" t="s">
        <v>17</v>
      </c>
    </row>
    <row r="10" spans="1:3" x14ac:dyDescent="0.3">
      <c r="A10" t="s">
        <v>19</v>
      </c>
      <c r="B10" t="s">
        <v>20</v>
      </c>
      <c r="C10" s="10" t="s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DPS Builds</vt:lpstr>
      <vt:lpstr>ALAC Builds</vt:lpstr>
      <vt:lpstr>QUICK Builds</vt:lpstr>
      <vt:lpstr>Colors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Schaffranek</cp:lastModifiedBy>
  <dcterms:created xsi:type="dcterms:W3CDTF">2026-05-03T07:00:59Z</dcterms:created>
  <dcterms:modified xsi:type="dcterms:W3CDTF">2026-05-03T07:01:31Z</dcterms:modified>
</cp:coreProperties>
</file>